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x5wtk6\OneDrive - 智己汽车\桌面\"/>
    </mc:Choice>
  </mc:AlternateContent>
  <bookViews>
    <workbookView windowWidth="27945" windowHeight="122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<sst xmlns="http://schemas.openxmlformats.org/spreadsheetml/2006/main" count="83" uniqueCount="74">
  <si>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牌号</t>
  </si>
  <si>
    <t>外径</t>
  </si>
  <si>
    <t>壁厚</t>
  </si>
  <si>
    <t>内径</t>
  </si>
  <si>
    <t>弯管半径</t>
  </si>
  <si>
    <t>最小直线段
（小于1.5倍管径
会有模具夹痕）</t>
  </si>
  <si>
    <t>齿形最
小内径</t>
  </si>
  <si>
    <t>胶管
SNCRN</t>
  </si>
  <si>
    <t>胶管最小
弯曲半径</t>
  </si>
  <si>
    <t>弯管角度</t>
  </si>
  <si>
    <t>相邻焊点</t>
  </si>
  <si>
    <t>示意图</t>
  </si>
  <si>
    <t>阀座到
弯管距离</t>
  </si>
  <si>
    <t>齿形插入
胶管长度</t>
  </si>
  <si>
    <t>铝套背部直线段</t>
  </si>
  <si>
    <t>铝铆/胶铆尺寸</t>
  </si>
  <si>
    <t>3003 H14</t>
  </si>
  <si>
    <t>φ9</t>
  </si>
  <si>
    <t>φ6.5</t>
  </si>
  <si>
    <t>R15</t>
  </si>
  <si>
    <t>推荐≥13.5
极限≥9</t>
  </si>
  <si>
    <t>φ4.5</t>
  </si>
  <si>
    <t>8DE3</t>
  </si>
  <si>
    <t>φ15</t>
  </si>
  <si>
    <t>R50</t>
  </si>
  <si>
    <t>推荐≥10°
极限≥5°</t>
  </si>
  <si>
    <t>推荐≥30
极限≥25</t>
  </si>
  <si>
    <t>推荐≥25
极限≥5</t>
  </si>
  <si>
    <t>推荐≥20
极限≥15</t>
  </si>
  <si>
    <t>推荐铝套
轴线R80
极限铝套
轴线R65</t>
  </si>
  <si>
    <t>φ12</t>
  </si>
  <si>
    <t>φ8.8</t>
  </si>
  <si>
    <t>R20</t>
  </si>
  <si>
    <t>推荐≥18
极限≥12</t>
  </si>
  <si>
    <t>φ7.2</t>
  </si>
  <si>
    <t>11DE3</t>
  </si>
  <si>
    <t>φ19</t>
  </si>
  <si>
    <t>R60</t>
  </si>
  <si>
    <t>推荐≥20
极限≥12</t>
  </si>
  <si>
    <t>φ16</t>
  </si>
  <si>
    <t>φ12.8</t>
  </si>
  <si>
    <t>R25</t>
  </si>
  <si>
    <t>推荐≥20
极限≥16</t>
  </si>
  <si>
    <t>φ11.2</t>
  </si>
  <si>
    <t>15DE3</t>
  </si>
  <si>
    <t>φ24</t>
  </si>
  <si>
    <t>R75</t>
  </si>
  <si>
    <t>3103 H112</t>
  </si>
  <si>
    <t>φ19.05</t>
  </si>
  <si>
    <t>φ16.05</t>
  </si>
  <si>
    <t>R27.5</t>
  </si>
  <si>
    <t>推荐≥25
极限≥20</t>
  </si>
  <si>
    <t>马鞍</t>
  </si>
  <si>
    <t>SKC-9AA</t>
  </si>
  <si>
    <t>SKC-9AC</t>
  </si>
  <si>
    <t>SKC-12AA</t>
  </si>
  <si>
    <t>SKC-16AA</t>
  </si>
  <si>
    <t>SKC-16AC</t>
  </si>
  <si>
    <t>SKC-19AF</t>
  </si>
  <si>
    <t>SKC-19AB</t>
  </si>
  <si>
    <t>a</t>
  </si>
  <si>
    <t>b</t>
  </si>
  <si>
    <t>c</t>
  </si>
  <si>
    <r>
      <rPr>
        <sz val="11"/>
        <color theme="1"/>
        <rFont val="等线"/>
        <charset val="134"/>
        <scheme val="minor"/>
      </rPr>
      <t>d</t>
    </r>
    <r>
      <rPr>
        <vertAlign val="subscript"/>
        <sz val="11"/>
        <color theme="1"/>
        <rFont val="等线"/>
        <charset val="134"/>
        <scheme val="minor"/>
      </rPr>
      <t>min</t>
    </r>
  </si>
  <si>
    <r>
      <rPr>
        <sz val="11"/>
        <color theme="1"/>
        <rFont val="等线"/>
        <charset val="134"/>
        <scheme val="minor"/>
      </rPr>
      <t>d</t>
    </r>
    <r>
      <rPr>
        <vertAlign val="subscript"/>
        <sz val="11"/>
        <color theme="1"/>
        <rFont val="等线"/>
        <charset val="134"/>
        <scheme val="minor"/>
      </rPr>
      <t>推荐</t>
    </r>
  </si>
  <si>
    <t>DM1&amp;CM2</t>
  </si>
  <si>
    <t>S32-T1</t>
  </si>
  <si>
    <t>S61D-EV</t>
  </si>
  <si>
    <t>低温散热器面积/m2</t>
  </si>
  <si>
    <t>高温散热器面积/m2</t>
  </si>
  <si>
    <t>CM2 Y+90</t>
  </si>
  <si>
    <t>CM2 Y+70</t>
  </si>
  <si>
    <t>CM2 Y+50</t>
  </si>
  <si>
    <t>芯体Y向宽度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</si>
</sst>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100028</xdr:colOff>
      <xdr:row>4</xdr:row>
      <xdr:rowOff>23255</xdr:rowOff>
    </xdr:from>
    <xdr:to>
      <xdr:col>18</xdr:col>
      <xdr:colOff>795853</xdr:colOff>
      <xdr:row>4</xdr:row>
      <xdr:rowOff>410308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44795" y="1903095"/>
          <a:ext cx="695960" cy="38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27714</xdr:colOff>
      <xdr:row>1</xdr:row>
      <xdr:rowOff>31538</xdr:rowOff>
    </xdr:from>
    <xdr:to>
      <xdr:col>18</xdr:col>
      <xdr:colOff>770084</xdr:colOff>
      <xdr:row>1</xdr:row>
      <xdr:rowOff>395653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72405" y="574040"/>
          <a:ext cx="742315" cy="364490"/>
        </a:xfrm>
        <a:prstGeom prst="rect">
          <a:avLst/>
        </a:prstGeom>
      </xdr:spPr>
    </xdr:pic>
    <xdr:clientData/>
  </xdr:twoCellAnchor>
  <xdr:twoCellAnchor editAs="oneCell">
    <xdr:from>
      <xdr:col>20</xdr:col>
      <xdr:colOff>57979</xdr:colOff>
      <xdr:row>2</xdr:row>
      <xdr:rowOff>49696</xdr:rowOff>
    </xdr:from>
    <xdr:to>
      <xdr:col>20</xdr:col>
      <xdr:colOff>906913</xdr:colOff>
      <xdr:row>3</xdr:row>
      <xdr:rowOff>414131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26935" y="1038225"/>
          <a:ext cx="848995" cy="81026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109067</xdr:colOff>
      <xdr:row>2</xdr:row>
      <xdr:rowOff>59901</xdr:rowOff>
    </xdr:from>
    <xdr:to>
      <xdr:col>18</xdr:col>
      <xdr:colOff>669939</xdr:colOff>
      <xdr:row>2</xdr:row>
      <xdr:rowOff>402980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053685" y="1048385"/>
          <a:ext cx="561340" cy="3429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109276</xdr:colOff>
      <xdr:row>3</xdr:row>
      <xdr:rowOff>43995</xdr:rowOff>
    </xdr:from>
    <xdr:to>
      <xdr:col>18</xdr:col>
      <xdr:colOff>681404</xdr:colOff>
      <xdr:row>3</xdr:row>
      <xdr:rowOff>404808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54320" y="1478280"/>
          <a:ext cx="572135" cy="360680"/>
        </a:xfrm>
        <a:prstGeom prst="rect">
          <a:avLst/>
        </a:prstGeom>
      </xdr:spPr>
    </xdr:pic>
    <xdr:clientData/>
  </xdr:twoCellAnchor>
  <xdr:twoCellAnchor editAs="oneCell">
    <xdr:from>
      <xdr:col>15</xdr:col>
      <xdr:colOff>134814</xdr:colOff>
      <xdr:row>1</xdr:row>
      <xdr:rowOff>27109</xdr:rowOff>
    </xdr:from>
    <xdr:to>
      <xdr:col>15</xdr:col>
      <xdr:colOff>781049</xdr:colOff>
      <xdr:row>4</xdr:row>
      <xdr:rowOff>382908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193645" y="569595"/>
          <a:ext cx="645795" cy="1693545"/>
        </a:xfrm>
        <a:prstGeom prst="rect">
          <a:avLst/>
        </a:prstGeom>
      </xdr:spPr>
    </xdr:pic>
    <xdr:clientData/>
  </xdr:twoCellAnchor>
  <xdr:twoCellAnchor editAs="oneCell">
    <xdr:from>
      <xdr:col>13</xdr:col>
      <xdr:colOff>74109</xdr:colOff>
      <xdr:row>2</xdr:row>
      <xdr:rowOff>33686</xdr:rowOff>
    </xdr:from>
    <xdr:to>
      <xdr:col>13</xdr:col>
      <xdr:colOff>1389189</xdr:colOff>
      <xdr:row>3</xdr:row>
      <xdr:rowOff>304800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51435" y="1022350"/>
          <a:ext cx="1315085" cy="7169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936895</xdr:colOff>
      <xdr:row>21</xdr:row>
      <xdr:rowOff>53578</xdr:rowOff>
    </xdr:to>
    <xdr:pic>
      <xdr:nvPicPr>
        <xdr:cNvPr id="5" name="图片 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2687955"/>
          <a:ext cx="1898650" cy="248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zoomScale="145" zoomScaleNormal="145" workbookViewId="0">
      <selection activeCell="D13" sqref="D13"/>
    </sheetView>
  </sheetViews>
  <sheetFormatPr defaultColWidth="9" defaultRowHeight="14.25"/>
  <cols>
    <col min="1" max="5" width="12.625" style="3" customWidth="1"/>
    <col min="6" max="6" width="14.875" style="3" customWidth="1"/>
    <col min="7" max="8" width="12.625" style="3" customWidth="1"/>
    <col min="9" max="11" width="12.625" customWidth="1"/>
    <col min="12" max="13" width="12.625" style="3" customWidth="1"/>
    <col min="14" max="14" width="18.625" style="3" customWidth="1"/>
    <col min="15" max="21" width="12.625" style="3" customWidth="1"/>
    <col min="22" max="62" width="11.75" customWidth="1"/>
  </cols>
  <sheetData>
    <row r="1" ht="42.75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1</v>
      </c>
      <c r="J1" s="4" t="s">
        <v>2</v>
      </c>
      <c r="K1" s="6" t="s">
        <v>8</v>
      </c>
      <c r="L1" s="4" t="s">
        <v>9</v>
      </c>
      <c r="M1" s="5" t="s">
        <v>10</v>
      </c>
      <c r="N1" s="5" t="s">
        <v>11</v>
      </c>
      <c r="O1" s="5" t="s">
        <v>12</v>
      </c>
      <c r="P1" s="5" t="s">
        <v>11</v>
      </c>
      <c r="Q1" s="5" t="s">
        <v>13</v>
      </c>
      <c r="R1" s="5" t="s">
        <v>14</v>
      </c>
      <c r="S1" s="5" t="s">
        <v>11</v>
      </c>
      <c r="T1" s="5" t="s">
        <v>15</v>
      </c>
      <c r="U1" s="5" t="s">
        <v>11</v>
      </c>
    </row>
    <row r="2" ht="35.1" customHeight="1" spans="1:21">
      <c r="A2" s="4" t="s">
        <v>16</v>
      </c>
      <c r="B2" s="4" t="s">
        <v>17</v>
      </c>
      <c r="C2" s="4">
        <v>1.25</v>
      </c>
      <c r="D2" s="4" t="s">
        <v>18</v>
      </c>
      <c r="E2" s="4" t="s">
        <v>19</v>
      </c>
      <c r="F2" s="5" t="s">
        <v>20</v>
      </c>
      <c r="G2" s="4" t="s">
        <v>21</v>
      </c>
      <c r="H2" s="4" t="s">
        <v>22</v>
      </c>
      <c r="I2" s="4" t="s">
        <v>23</v>
      </c>
      <c r="J2" s="4">
        <f>(15-8.4)/2</f>
        <v>3.3</v>
      </c>
      <c r="K2" s="4" t="s">
        <v>24</v>
      </c>
      <c r="L2" s="5" t="s">
        <v>25</v>
      </c>
      <c r="M2" s="5" t="s">
        <v>26</v>
      </c>
      <c r="N2" s="7"/>
      <c r="O2" s="7" t="s">
        <v>27</v>
      </c>
      <c r="P2" s="7"/>
      <c r="Q2" s="7">
        <v>35</v>
      </c>
      <c r="R2" s="5" t="s">
        <v>28</v>
      </c>
      <c r="S2" s="5"/>
      <c r="T2" s="5" t="s">
        <v>29</v>
      </c>
      <c r="U2" s="7"/>
    </row>
    <row r="3" ht="35.1" customHeight="1" spans="1:21">
      <c r="A3" s="4" t="s">
        <v>16</v>
      </c>
      <c r="B3" s="4" t="s">
        <v>30</v>
      </c>
      <c r="C3" s="4">
        <v>1.6</v>
      </c>
      <c r="D3" s="4" t="s">
        <v>31</v>
      </c>
      <c r="E3" s="4" t="s">
        <v>32</v>
      </c>
      <c r="F3" s="5" t="s">
        <v>33</v>
      </c>
      <c r="G3" s="4" t="s">
        <v>34</v>
      </c>
      <c r="H3" s="4" t="s">
        <v>35</v>
      </c>
      <c r="I3" s="4" t="s">
        <v>36</v>
      </c>
      <c r="J3" s="4">
        <f>(19-11.9)/2</f>
        <v>3.55</v>
      </c>
      <c r="K3" s="4" t="s">
        <v>37</v>
      </c>
      <c r="L3" s="4"/>
      <c r="M3" s="4"/>
      <c r="N3" s="8"/>
      <c r="O3" s="8"/>
      <c r="P3" s="8"/>
      <c r="Q3" s="8"/>
      <c r="R3" s="5" t="s">
        <v>38</v>
      </c>
      <c r="S3" s="4"/>
      <c r="T3" s="5"/>
      <c r="U3" s="8"/>
    </row>
    <row r="4" ht="35.1" customHeight="1" spans="1:21">
      <c r="A4" s="4" t="s">
        <v>16</v>
      </c>
      <c r="B4" s="4" t="s">
        <v>39</v>
      </c>
      <c r="C4" s="4">
        <v>1.6</v>
      </c>
      <c r="D4" s="4" t="s">
        <v>40</v>
      </c>
      <c r="E4" s="4" t="s">
        <v>41</v>
      </c>
      <c r="F4" s="5" t="s">
        <v>42</v>
      </c>
      <c r="G4" s="9" t="s">
        <v>43</v>
      </c>
      <c r="H4" s="9" t="s">
        <v>44</v>
      </c>
      <c r="I4" s="9" t="s">
        <v>45</v>
      </c>
      <c r="J4" s="9">
        <f>(24-15.9)/2</f>
        <v>4.05</v>
      </c>
      <c r="K4" s="9" t="s">
        <v>46</v>
      </c>
      <c r="L4" s="4"/>
      <c r="M4" s="4"/>
      <c r="N4" s="8"/>
      <c r="O4" s="8"/>
      <c r="P4" s="8"/>
      <c r="Q4" s="8"/>
      <c r="R4" s="5" t="s">
        <v>42</v>
      </c>
      <c r="S4" s="4"/>
      <c r="T4" s="5"/>
      <c r="U4" s="8"/>
    </row>
    <row r="5" ht="35.1" customHeight="1" spans="1:21">
      <c r="A5" s="4" t="s">
        <v>47</v>
      </c>
      <c r="B5" s="4" t="s">
        <v>48</v>
      </c>
      <c r="C5" s="4">
        <v>1.5</v>
      </c>
      <c r="D5" s="4" t="s">
        <v>49</v>
      </c>
      <c r="E5" s="4" t="s">
        <v>50</v>
      </c>
      <c r="F5" s="5" t="s">
        <v>51</v>
      </c>
      <c r="G5" s="10"/>
      <c r="H5" s="10"/>
      <c r="I5" s="10"/>
      <c r="J5" s="10"/>
      <c r="K5" s="10"/>
      <c r="L5" s="4"/>
      <c r="M5" s="4"/>
      <c r="N5" s="11"/>
      <c r="O5" s="11"/>
      <c r="P5" s="11"/>
      <c r="Q5" s="11"/>
      <c r="R5" s="5" t="s">
        <v>26</v>
      </c>
      <c r="S5" s="4"/>
      <c r="T5" s="5"/>
      <c r="U5" s="11"/>
    </row>
    <row r="7" spans="1:21">
      <c r="A7" s="3" t="s">
        <v>52</v>
      </c>
      <c r="C7" s="12"/>
      <c r="D7" s="12"/>
      <c r="E7" s="12"/>
      <c r="F7" s="12"/>
      <c r="G7" s="12"/>
      <c r="H7" s="12"/>
      <c r="I7" s="13"/>
      <c r="J7" s="13"/>
    </row>
    <row r="8" hidden="1" spans="1:21">
      <c r="C8" s="12"/>
      <c r="D8" s="12" t="s">
        <v>53</v>
      </c>
      <c r="E8" s="12" t="s">
        <v>54</v>
      </c>
      <c r="F8" s="12" t="s">
        <v>55</v>
      </c>
      <c r="G8" s="12" t="s">
        <v>56</v>
      </c>
      <c r="H8" s="12" t="s">
        <v>57</v>
      </c>
      <c r="I8" s="12" t="s">
        <v>58</v>
      </c>
      <c r="J8" s="12" t="s">
        <v>59</v>
      </c>
      <c r="K8" s="3"/>
      <c r="U8"/>
    </row>
    <row r="9" spans="1:21">
      <c r="C9" s="14" t="s">
        <v>60</v>
      </c>
      <c r="D9" s="14">
        <v>9</v>
      </c>
      <c r="E9" s="14">
        <v>9.53</v>
      </c>
      <c r="F9" s="14">
        <v>12</v>
      </c>
      <c r="G9" s="14">
        <v>16</v>
      </c>
      <c r="H9" s="14">
        <v>16</v>
      </c>
      <c r="I9" s="14">
        <v>19.05</v>
      </c>
      <c r="J9" s="14">
        <v>19.05</v>
      </c>
      <c r="K9" s="3"/>
      <c r="U9"/>
    </row>
    <row r="10" spans="1:21">
      <c r="C10" s="14" t="s">
        <v>61</v>
      </c>
      <c r="D10" s="14">
        <v>9</v>
      </c>
      <c r="E10" s="14">
        <v>12.7</v>
      </c>
      <c r="F10" s="14">
        <v>12</v>
      </c>
      <c r="G10" s="14">
        <v>12</v>
      </c>
      <c r="H10" s="14">
        <v>16</v>
      </c>
      <c r="I10" s="14">
        <v>16</v>
      </c>
      <c r="J10" s="14">
        <v>19.05</v>
      </c>
      <c r="K10" s="3"/>
      <c r="U10"/>
    </row>
    <row r="11" spans="1:21">
      <c r="C11" s="14" t="s">
        <v>62</v>
      </c>
      <c r="D11" s="14">
        <v>15.4</v>
      </c>
      <c r="E11" s="14">
        <v>17.2</v>
      </c>
      <c r="F11" s="14">
        <v>17.4</v>
      </c>
      <c r="G11" s="14">
        <v>23</v>
      </c>
      <c r="H11" s="14">
        <v>25</v>
      </c>
      <c r="I11" s="14">
        <v>26</v>
      </c>
      <c r="J11" s="14">
        <v>28</v>
      </c>
      <c r="K11" s="3"/>
      <c r="U11"/>
    </row>
    <row r="12" ht="17.25" spans="1:21">
      <c r="C12" s="14" t="s">
        <v>63</v>
      </c>
      <c r="D12" s="15">
        <f>D10/2+1.25+2+9</f>
        <v>16.75</v>
      </c>
      <c r="E12" s="15">
        <f>E10/2+1.65+2+13</f>
        <v>23</v>
      </c>
      <c r="F12" s="15">
        <f>F10/2+1.6+2+12</f>
        <v>21.6</v>
      </c>
      <c r="G12" s="15">
        <f>G10/2+1.6+2+12</f>
        <v>21.6</v>
      </c>
      <c r="H12" s="15">
        <f>H10/2+1.6+2+16</f>
        <v>27.6</v>
      </c>
      <c r="I12" s="15">
        <f>I10/2+1.6+2+16</f>
        <v>27.6</v>
      </c>
      <c r="J12" s="15">
        <f>J10/2+1.5+2+20</f>
        <v>33.025</v>
      </c>
      <c r="K12" s="3"/>
      <c r="U12"/>
    </row>
    <row r="13" ht="17.25" spans="1:21">
      <c r="C13" s="14" t="s">
        <v>64</v>
      </c>
      <c r="D13" s="15">
        <f>D10/2+1.25+2+13.5</f>
        <v>21.25</v>
      </c>
      <c r="E13" s="15">
        <f>E10/2+1.65+2+20</f>
        <v>30</v>
      </c>
      <c r="F13" s="15">
        <f>F10/2+1.6+2+18</f>
        <v>27.6</v>
      </c>
      <c r="G13" s="15">
        <f>G10/2+1.6+2+18</f>
        <v>27.6</v>
      </c>
      <c r="H13" s="15">
        <f>H10/2+1.6+2+20</f>
        <v>31.6</v>
      </c>
      <c r="I13" s="15">
        <f>I10/2+1.6+2+20</f>
        <v>31.6</v>
      </c>
      <c r="J13" s="15">
        <f>J10/2+1.5+2+25</f>
        <v>38.025</v>
      </c>
      <c r="K13" s="3"/>
      <c r="U13"/>
    </row>
  </sheetData>
  <mergeCells count="13">
    <mergeCell ref="G4:G5"/>
    <mergeCell ref="H4:H5"/>
    <mergeCell ref="I4:I5"/>
    <mergeCell ref="J4:J5"/>
    <mergeCell ref="K4:K5"/>
    <mergeCell ref="L2:L5"/>
    <mergeCell ref="M2:M5"/>
    <mergeCell ref="N2:N5"/>
    <mergeCell ref="O2:O5"/>
    <mergeCell ref="P2:P5"/>
    <mergeCell ref="Q2:Q5"/>
    <mergeCell ref="T2:T5"/>
    <mergeCell ref="U2:U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8:H24"/>
  <sheetViews>
    <sheetView zoomScale="160" zoomScaleNormal="160" topLeftCell="A5" workbookViewId="0">
      <selection activeCell="H24" sqref="C18:H24"/>
    </sheetView>
  </sheetViews>
  <sheetFormatPr defaultColWidth="9" defaultRowHeight="14.25" outlineLevelCol="7"/>
  <cols>
    <col min="3" max="3" width="18.75" customWidth="1"/>
    <col min="4" max="4" width="10.375" customWidth="1"/>
    <col min="5" max="5" width="7.375" customWidth="1"/>
    <col min="6" max="6" width="9.875" customWidth="1"/>
    <col min="7" max="8" width="12.625"/>
  </cols>
  <sheetData>
    <row r="18" spans="3:8">
      <c r="C18" s="1"/>
      <c r="D18" s="1" t="s">
        <v>65</v>
      </c>
      <c r="E18" s="1" t="s">
        <v>66</v>
      </c>
      <c r="F18" s="1" t="s">
        <v>67</v>
      </c>
      <c r="G18" s="1"/>
      <c r="H18" s="1"/>
    </row>
    <row r="19" spans="3:8">
      <c r="C19" s="1" t="s">
        <v>68</v>
      </c>
      <c r="D19" s="1">
        <v>0.178</v>
      </c>
      <c r="E19" s="1">
        <v>0.178</v>
      </c>
      <c r="F19" s="1">
        <v>0.2038</v>
      </c>
      <c r="G19" s="1">
        <f>G24*F19/F24</f>
        <v>0.198154570637119</v>
      </c>
      <c r="H19" s="1">
        <f>H24*F19/F24</f>
        <v>0.192509141274238</v>
      </c>
    </row>
    <row r="20" spans="3:8">
      <c r="C20" s="1" t="s">
        <v>69</v>
      </c>
      <c r="D20" s="1">
        <v>0.282</v>
      </c>
      <c r="E20" s="1">
        <v>0.297</v>
      </c>
      <c r="F20" s="1">
        <v>0.322</v>
      </c>
      <c r="G20" s="1">
        <f>G24*F20/F24</f>
        <v>0.313080332409972</v>
      </c>
      <c r="H20" s="1">
        <f>H24*F20/F24</f>
        <v>0.304160664819945</v>
      </c>
    </row>
    <row r="21" spans="3:8">
      <c r="C21" s="1"/>
      <c r="D21" s="1">
        <f>D19+D20</f>
        <v>0.46</v>
      </c>
      <c r="E21" s="1">
        <f>E19+E20</f>
        <v>0.475</v>
      </c>
      <c r="F21" s="1">
        <f>F19+F20</f>
        <v>0.5258</v>
      </c>
      <c r="G21" s="1">
        <f>G19+G20</f>
        <v>0.511234903047091</v>
      </c>
      <c r="H21" s="1">
        <f>H19+H20</f>
        <v>0.496669806094183</v>
      </c>
    </row>
    <row r="22" spans="3:8">
      <c r="C22" s="2"/>
      <c r="D22" s="2"/>
      <c r="E22" s="2"/>
      <c r="F22" s="2"/>
      <c r="G22" s="2"/>
      <c r="H22" s="2"/>
    </row>
    <row r="23" spans="3:8">
      <c r="C23" s="2"/>
      <c r="D23" s="2"/>
      <c r="E23" s="2"/>
      <c r="F23" s="2" t="s">
        <v>70</v>
      </c>
      <c r="G23" s="2" t="s">
        <v>71</v>
      </c>
      <c r="H23" s="2" t="s">
        <v>72</v>
      </c>
    </row>
    <row r="24" ht="28.5" spans="3:8">
      <c r="C24" s="2"/>
      <c r="D24" s="2"/>
      <c r="E24" s="2" t="s">
        <v>73</v>
      </c>
      <c r="F24" s="2">
        <v>722</v>
      </c>
      <c r="G24" s="2">
        <v>702</v>
      </c>
      <c r="H24" s="2">
        <v>682</v>
      </c>
    </row>
  </sheetData>
  <mergeCells count="1">
    <mergeCell ref="F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吴凯枫</cp:lastModifiedBy>
  <dcterms:created xsi:type="dcterms:W3CDTF">2015-06-05T18:19:00Z</dcterms:created>
  <dcterms:modified xsi:type="dcterms:W3CDTF">2026-09-01T01:13:34Z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449CE35234AC4766AF7F787F649A0A8D_13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